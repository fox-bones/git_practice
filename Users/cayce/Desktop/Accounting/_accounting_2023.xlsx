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ayce\Desktop\Accounting\"/>
    </mc:Choice>
  </mc:AlternateContent>
  <xr:revisionPtr revIDLastSave="0" documentId="13_ncr:1_{46AEB25A-77A7-47C3-B174-BCA6CB63BF65}" xr6:coauthVersionLast="47" xr6:coauthVersionMax="47" xr10:uidLastSave="{00000000-0000-0000-0000-000000000000}"/>
  <bookViews>
    <workbookView xWindow="-108" yWindow="-108" windowWidth="23256" windowHeight="12456" activeTab="1" xr2:uid="{A7DF8598-E0AD-41B0-BAC3-F02B19563900}"/>
  </bookViews>
  <sheets>
    <sheet name="November" sheetId="1" r:id="rId1"/>
    <sheet name="December" sheetId="2" r:id="rId2"/>
    <sheet name="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K2" i="2" s="1"/>
  <c r="G18" i="2"/>
  <c r="G16" i="2"/>
  <c r="D12" i="2"/>
  <c r="H35" i="3"/>
  <c r="G35" i="3"/>
  <c r="F35" i="3"/>
  <c r="E35" i="3"/>
  <c r="D35" i="3"/>
  <c r="C35" i="3"/>
  <c r="B35" i="3"/>
  <c r="C35" i="2"/>
  <c r="D35" i="2"/>
  <c r="E35" i="2"/>
  <c r="F35" i="2"/>
  <c r="H35" i="2"/>
  <c r="B35" i="2"/>
  <c r="B35" i="1"/>
  <c r="E22" i="1"/>
  <c r="C22" i="1"/>
  <c r="H14" i="1"/>
  <c r="G14" i="1"/>
  <c r="B14" i="1"/>
  <c r="C30" i="1"/>
  <c r="D30" i="1"/>
  <c r="E30" i="1"/>
  <c r="F30" i="1"/>
  <c r="G30" i="1"/>
  <c r="H30" i="1"/>
  <c r="D22" i="1"/>
  <c r="F22" i="1"/>
  <c r="G22" i="1"/>
  <c r="H22" i="1"/>
  <c r="H6" i="1"/>
  <c r="H35" i="1" s="1"/>
  <c r="C14" i="1"/>
  <c r="D14" i="1"/>
  <c r="E14" i="1"/>
  <c r="F14" i="1"/>
  <c r="C6" i="1"/>
  <c r="C35" i="1" s="1"/>
  <c r="D6" i="1"/>
  <c r="E6" i="1"/>
  <c r="F6" i="1"/>
  <c r="G6" i="1"/>
  <c r="B30" i="1"/>
  <c r="B22" i="1"/>
  <c r="B6" i="1"/>
  <c r="G35" i="2" l="1"/>
  <c r="H36" i="2"/>
  <c r="H36" i="3"/>
  <c r="D35" i="1"/>
  <c r="H36" i="1" s="1"/>
  <c r="E35" i="1"/>
  <c r="G35" i="1"/>
  <c r="F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tc={7CAA89D6-46A8-4C6D-99D4-36FCDC502B44}</author>
    <author>tc={A37B5C2B-E66A-4736-A97F-007A87613C86}</author>
    <author>tc={BDDEA9E0-78DC-4C30-B67F-CAE4958203BC}</author>
    <author>tc={1F6E0B8F-7F7B-4338-8EA9-8D98CF916CE8}</author>
    <author>tc={E44FC64B-AFE0-4CF1-97B8-C402C1E5D39E}</author>
    <author>tc={DFA378C7-64CE-4DFA-85A0-EAF53884D602}</author>
    <author>tc={61D4F2C8-9B3B-4C7F-ABAC-F3EC494DAF4B}</author>
    <author>tc={5478DFB1-A69C-4D25-B4BB-B354ABC42D0A}</author>
    <author>tc={674C4364-4F08-4300-9B5B-456FD391DCA7}</author>
    <author>tc={090C45F9-675C-4D16-957C-CCB4A7E79194}</author>
    <author>tc={A4FC4769-0BCB-4E05-8934-DF50C3A09B97}</author>
    <author>tc={A34BA6DA-7C31-48B3-965B-F301B8C52D6E}</author>
    <author>tc={9A28C0B4-341D-4494-81C5-D00EC57EC7DD}</author>
    <author>tc={9814908A-DB62-4AAE-AFDB-071617B35867}</author>
    <author>tc={93CD556E-7F24-4730-820C-1ED1FFE4C176}</author>
    <author>tc={405D428C-9A21-4F7B-A6BF-549560C6832B}</author>
    <author>tc={80E17869-1EDD-428D-A1D0-2C4A96750B7C}</author>
    <author>tc={FD3B9F7B-4353-43BC-9B58-4C52E2CBEB89}</author>
    <author>tc={D0AE4657-4A17-40C0-B76B-EE48FE5E90AE}</author>
    <author>tc={7AB05524-F913-486E-B033-24DA1FB926E7}</author>
    <author>tc={5C592E74-CAA5-4723-A81D-197236668870}</author>
  </authors>
  <commentList>
    <comment ref="E4" authorId="0" shapeId="0" xr:uid="{7CAA89D6-46A8-4C6D-99D4-36FCDC502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Aldi</t>
      </text>
    </comment>
    <comment ref="H4" authorId="1" shapeId="0" xr:uid="{A37B5C2B-E66A-4736-A97F-007A87613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Paycheck</t>
      </text>
    </comment>
    <comment ref="G5" authorId="2" shapeId="0" xr:uid="{BDDEA9E0-78DC-4C30-B67F-CAE4958203BC}">
      <text>
        <t>[Threaded comment]
Your version of Excel allows you to read this threaded comment; however, any edits to it will get removed if the file is opened in a newer version of Excel. Learn more: https://go.microsoft.com/fwlink/?linkid=870924
Comment:
    Oryana tea</t>
      </text>
    </comment>
    <comment ref="H5" authorId="3" shapeId="0" xr:uid="{1F6E0B8F-7F7B-4338-8EA9-8D98CF916CE8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AutoZone battery trade in</t>
      </text>
    </comment>
    <comment ref="D7" authorId="4" shapeId="0" xr:uid="{E44FC64B-AFE0-4CF1-97B8-C402C1E5D39E}">
      <text>
        <t>[Threaded comment]
Your version of Excel allows you to read this threaded comment; however, any edits to it will get removed if the file is opened in a newer version of Excel. Learn more: https://go.microsoft.com/fwlink/?linkid=870924
Comment:
    Phone Bill</t>
      </text>
    </comment>
    <comment ref="D10" authorId="5" shapeId="0" xr:uid="{DFA378C7-64CE-4DFA-85A0-EAF53884D6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Spotify </t>
      </text>
    </comment>
    <comment ref="E11" authorId="6" shapeId="0" xr:uid="{61D4F2C8-9B3B-4C7F-ABAC-F3EC494DAF4B}">
      <text>
        <t>[Threaded comment]
Your version of Excel allows you to read this threaded comment; however, any edits to it will get removed if the file is opened in a newer version of Excel. Learn more: https://go.microsoft.com/fwlink/?linkid=870924
Comment:
    Meijer</t>
      </text>
    </comment>
    <comment ref="D12" authorId="7" shapeId="0" xr:uid="{5478DFB1-A69C-4D25-B4BB-B354ABC42D0A}">
      <text>
        <t>[Threaded comment]
Your version of Excel allows you to read this threaded comment; however, any edits to it will get removed if the file is opened in a newer version of Excel. Learn more: https://go.microsoft.com/fwlink/?linkid=870924
Comment:
    Duolingo</t>
      </text>
    </comment>
    <comment ref="E12" authorId="8" shapeId="0" xr:uid="{674C4364-4F08-4300-9B5B-456FD391DCA7}">
      <text>
        <t>[Threaded comment]
Your version of Excel allows you to read this threaded comment; however, any edits to it will get removed if the file is opened in a newer version of Excel. Learn more: https://go.microsoft.com/fwlink/?linkid=870924
Comment:
    Aldi</t>
      </text>
    </comment>
    <comment ref="G12" authorId="9" shapeId="0" xr:uid="{090C45F9-675C-4D16-957C-CCB4A7E791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Wal-Mart multivitamins </t>
      </text>
    </comment>
    <comment ref="G13" authorId="10" shapeId="0" xr:uid="{A4FC4769-0BCB-4E05-8934-DF50C3A09B97}">
      <text>
        <t>[Threaded comment]
Your version of Excel allows you to read this threaded comment; however, any edits to it will get removed if the file is opened in a newer version of Excel. Learn more: https://go.microsoft.com/fwlink/?linkid=870924
Comment:
    Toothpaste, magnesium, castor oil</t>
      </text>
    </comment>
    <comment ref="G16" authorId="11" shapeId="0" xr:uid="{A34BA6DA-7C31-48B3-965B-F301B8C52D6E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Whitening Pen</t>
      </text>
    </comment>
    <comment ref="G19" authorId="12" shapeId="0" xr:uid="{9A28C0B4-341D-4494-81C5-D00EC57EC7DD}">
      <text>
        <t>[Threaded comment]
Your version of Excel allows you to read this threaded comment; however, any edits to it will get removed if the file is opened in a newer version of Excel. Learn more: https://go.microsoft.com/fwlink/?linkid=870924
Comment:
    McDonald's</t>
      </text>
    </comment>
    <comment ref="H19" authorId="13" shapeId="0" xr:uid="{9814908A-DB62-4AAE-AFDB-071617B358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Paycheck</t>
      </text>
    </comment>
    <comment ref="E20" authorId="14" shapeId="0" xr:uid="{93CD556E-7F24-4730-820C-1ED1FFE4C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Aldi</t>
      </text>
    </comment>
    <comment ref="G20" authorId="15" shapeId="0" xr:uid="{405D428C-9A21-4F7B-A6BF-549560C68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Honey, Meijer</t>
      </text>
    </comment>
    <comment ref="H20" authorId="16" shapeId="0" xr:uid="{80E17869-1EDD-428D-A1D0-2C4A9675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Ebay book sale</t>
      </text>
    </comment>
    <comment ref="G24" authorId="17" shapeId="0" xr:uid="{FD3B9F7B-4353-43BC-9B58-4C52E2CBEB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Dentist </t>
      </text>
    </comment>
    <comment ref="E28" authorId="18" shapeId="0" xr:uid="{D0AE4657-4A17-40C0-B76B-EE48FE5E90AE}">
      <text>
        <t>[Threaded comment]
Your version of Excel allows you to read this threaded comment; however, any edits to it will get removed if the file is opened in a newer version of Excel. Learn more: https://go.microsoft.com/fwlink/?linkid=870924
Comment:
    Aldi
Cat food - $9.38</t>
      </text>
    </comment>
    <comment ref="D31" authorId="19" shapeId="0" xr:uid="{7AB05524-F913-486E-B033-24DA1FB926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Renter's Insurance</t>
      </text>
    </comment>
    <comment ref="E31" authorId="20" shapeId="0" xr:uid="{5C592E74-CAA5-4723-A81D-197236668870}">
      <text>
        <t>[Threaded comment]
Your version of Excel allows you to read this threaded comment; however, any edits to it will get removed if the file is opened in a newer version of Excel. Learn more: https://go.microsoft.com/fwlink/?linkid=870924
Comment:
    Meijer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tc={09C98D1C-03B6-4D58-AF1E-DD5E10C024CC}</author>
    <author>tc={3A8F9F73-EC37-450F-B876-8546A63CF82C}</author>
    <author>tc={D5758072-580F-40E0-BC01-C2FB1164CAED}</author>
    <author>tc={985F3146-FCC6-4618-BEDB-7229969E608D}</author>
    <author>tc={8EFD0708-09D1-4C38-B5B6-0774B5F1A7F3}</author>
    <author>tc={6DB561C5-4F2A-4987-A13B-9007D3620C7E}</author>
  </authors>
  <commentList>
    <comment ref="G4" authorId="0" shapeId="0" xr:uid="{09C98D1C-03B6-4D58-AF1E-DD5E10C024CC}">
      <text>
        <t>[Threaded comment]
Your version of Excel allows you to read this threaded comment; however, any edits to it will get removed if the file is opened in a newer version of Excel. Learn more: https://go.microsoft.com/fwlink/?linkid=870924
Comment:
    Tea</t>
      </text>
    </comment>
    <comment ref="H4" authorId="1" shapeId="0" xr:uid="{3A8F9F73-EC37-450F-B876-8546A63CF82C}">
      <text>
        <t>[Threaded comment]
Your version of Excel allows you to read this threaded comment; however, any edits to it will get removed if the file is opened in a newer version of Excel. Learn more: https://go.microsoft.com/fwlink/?linkid=870924
Comment:
    Codecademy refund</t>
      </text>
    </comment>
    <comment ref="D6" authorId="2" shapeId="0" xr:uid="{D5758072-580F-40E0-BC01-C2FB1164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US Mobile</t>
      </text>
    </comment>
    <comment ref="G6" authorId="3" shapeId="0" xr:uid="{985F3146-FCC6-4618-BEDB-7229969E608D}">
      <text>
        <t>[Threaded comment]
Your version of Excel allows you to read this threaded comment; however, any edits to it will get removed if the file is opened in a newer version of Excel. Learn more: https://go.microsoft.com/fwlink/?linkid=870924
Comment:
    Blue Vase Christmas/Personal</t>
      </text>
    </comment>
    <comment ref="G11" authorId="4" shapeId="0" xr:uid="{8EFD0708-09D1-4C38-B5B6-0774B5F1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A snack</t>
      </text>
    </comment>
    <comment ref="D12" authorId="5" shapeId="0" xr:uid="{6DB561C5-4F2A-4987-A13B-9007D3620C7E}">
      <text>
        <t>[Threaded comment]
Your version of Excel allows you to read this threaded comment; however, any edits to it will get removed if the file is opened in a newer version of Excel. Learn more: https://go.microsoft.com/fwlink/?linkid=870924
Comment:
    Duolingo + Spotify</t>
      </text>
    </comment>
  </commentList>
</comments>
</file>

<file path=xl/sharedStrings.xml><?xml version="1.0" encoding="utf-8"?>
<sst xmlns="http://schemas.openxmlformats.org/spreadsheetml/2006/main" count="41" uniqueCount="21">
  <si>
    <t>Bills</t>
  </si>
  <si>
    <t>Subscriptions</t>
  </si>
  <si>
    <t>Groceries</t>
  </si>
  <si>
    <t>Gas</t>
  </si>
  <si>
    <t>Rent</t>
  </si>
  <si>
    <t>Other</t>
  </si>
  <si>
    <t>Column1</t>
  </si>
  <si>
    <t>November Finances</t>
  </si>
  <si>
    <t>End Week 1</t>
  </si>
  <si>
    <t>End Week 2</t>
  </si>
  <si>
    <t>End Week 3</t>
  </si>
  <si>
    <t>End Week 4</t>
  </si>
  <si>
    <t>Account Value at Month Start - $1429.80</t>
  </si>
  <si>
    <t>Total</t>
  </si>
  <si>
    <t>Assets</t>
  </si>
  <si>
    <t>Month End</t>
  </si>
  <si>
    <t>December Finanaces</t>
  </si>
  <si>
    <t>Date</t>
  </si>
  <si>
    <t>Account Value at Month Start:</t>
  </si>
  <si>
    <t>Insert Month Here</t>
  </si>
  <si>
    <t>Total Spent: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</si>
</sst>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;@"/>
  </numFmts>
  <fonts count="9" x14ac:knownFonts="1">
    <font>
      <sz val="11"/>
      <color theme="1"/>
      <name val="Rockwell"/>
      <family val="2"/>
      <scheme val="minor"/>
    </font>
    <font>
      <b/>
      <sz val="11"/>
      <color theme="0"/>
      <name val="Rockwell"/>
      <family val="2"/>
      <scheme val="minor"/>
    </font>
    <font>
      <sz val="11"/>
      <color theme="0"/>
      <name val="Rockwell"/>
      <family val="2"/>
      <scheme val="minor"/>
    </font>
    <font>
      <sz val="18"/>
      <color theme="0"/>
      <name val="Bookman Old Style"/>
      <family val="1"/>
    </font>
    <font>
      <sz val="8"/>
      <name val="Rockwell"/>
      <family val="2"/>
      <scheme val="minor"/>
    </font>
    <font>
      <sz val="11"/>
      <color theme="0"/>
      <name val="Bookman Old Style"/>
      <family val="1"/>
    </font>
    <font>
      <b/>
      <sz val="11"/>
      <color theme="8"/>
      <name val="Rockwell"/>
      <family val="2"/>
      <scheme val="minor"/>
    </font>
    <font>
      <i/>
      <sz val="18"/>
      <color theme="0"/>
      <name val="Bookman Old Style"/>
      <family val="1"/>
    </font>
    <font>
      <i/>
      <sz val="11"/>
      <color theme="1"/>
      <name val="Rockwell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theme="8" tint="0.59999389629810485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44" fontId="0" fillId="4" borderId="1" xfId="0" applyNumberFormat="1" applyFill="1" applyBorder="1"/>
    <xf numFmtId="44" fontId="0" fillId="0" borderId="0" xfId="0" applyNumberFormat="1"/>
    <xf numFmtId="0" fontId="1" fillId="2" borderId="3" xfId="0" applyFont="1" applyFill="1" applyBorder="1"/>
    <xf numFmtId="164" fontId="0" fillId="4" borderId="4" xfId="0" applyNumberFormat="1" applyFill="1" applyBorder="1"/>
    <xf numFmtId="44" fontId="0" fillId="4" borderId="2" xfId="0" applyNumberFormat="1" applyFill="1" applyBorder="1"/>
    <xf numFmtId="164" fontId="0" fillId="3" borderId="5" xfId="0" applyNumberFormat="1" applyFill="1" applyBorder="1"/>
    <xf numFmtId="44" fontId="0" fillId="3" borderId="1" xfId="0" applyNumberFormat="1" applyFill="1" applyBorder="1"/>
    <xf numFmtId="0" fontId="1" fillId="5" borderId="5" xfId="0" applyFont="1" applyFill="1" applyBorder="1"/>
    <xf numFmtId="44" fontId="2" fillId="5" borderId="1" xfId="0" applyNumberFormat="1" applyFont="1" applyFill="1" applyBorder="1"/>
    <xf numFmtId="164" fontId="0" fillId="4" borderId="5" xfId="0" applyNumberFormat="1" applyFill="1" applyBorder="1"/>
    <xf numFmtId="0" fontId="1" fillId="6" borderId="5" xfId="0" applyFont="1" applyFill="1" applyBorder="1"/>
    <xf numFmtId="44" fontId="2" fillId="6" borderId="1" xfId="0" applyNumberFormat="1" applyFont="1" applyFill="1" applyBorder="1"/>
    <xf numFmtId="0" fontId="6" fillId="2" borderId="0" xfId="0" applyFont="1" applyFill="1"/>
    <xf numFmtId="164" fontId="1" fillId="7" borderId="5" xfId="0" applyNumberFormat="1" applyFont="1" applyFill="1" applyBorder="1"/>
    <xf numFmtId="44" fontId="2" fillId="7" borderId="1" xfId="0" applyNumberFormat="1" applyFont="1" applyFill="1" applyBorder="1"/>
    <xf numFmtId="164" fontId="0" fillId="0" borderId="0" xfId="0" applyNumberFormat="1"/>
    <xf numFmtId="0" fontId="2" fillId="8" borderId="0" xfId="0" applyFont="1" applyFill="1"/>
    <xf numFmtId="0" fontId="2" fillId="6" borderId="0" xfId="0" applyFont="1" applyFill="1"/>
    <xf numFmtId="44" fontId="2" fillId="6" borderId="0" xfId="0" applyNumberFormat="1" applyFont="1" applyFill="1"/>
    <xf numFmtId="44" fontId="2" fillId="8" borderId="0" xfId="0" applyNumberFormat="1" applyFont="1" applyFill="1"/>
    <xf numFmtId="164" fontId="8" fillId="0" borderId="0" xfId="0" applyNumberFormat="1" applyFont="1"/>
    <xf numFmtId="0" fontId="3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44" fontId="5" fillId="8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1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Rockwell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yce  Harwood" id="{3D422400-0721-4937-8C05-139D14D2217E}" userId="S::harwoo27@mail.nmc.edu::606fa9d6-b6f5-42ac-bd16-3d6e2579551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1B072B-3B21-48D5-BCF1-0A3E65BAB859}" name="Table8" displayName="Table8" ref="A3:H36" totalsRowShown="0" headerRowDxfId="14">
  <autoFilter ref="A3:H36" xr:uid="{CA1B072B-3B21-48D5-BCF1-0A3E65BAB8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AB17DF-3E0F-43CB-B2EB-D92AF21E4525}" name="Column1"/>
    <tableColumn id="2" xr3:uid="{318976DF-E6B3-4339-B2EB-7378E24201AD}" name="Rent"/>
    <tableColumn id="3" xr3:uid="{B6A61598-CC22-4466-8DA6-EDE594D79028}" name="Bills"/>
    <tableColumn id="4" xr3:uid="{FBA728E6-D87B-44F7-A561-ABB7CCD5D147}" name="Subscriptions"/>
    <tableColumn id="5" xr3:uid="{DE45FB2D-CA90-44A1-BA21-9C60755528B4}" name="Groceries"/>
    <tableColumn id="6" xr3:uid="{6B819B52-8ADB-4B22-BD92-CA625E275C18}" name="Gas"/>
    <tableColumn id="7" xr3:uid="{7CDC1BBF-91A5-46A9-A5AF-90360B1C86CE}" name="Other"/>
    <tableColumn id="8" xr3:uid="{6FFD2A93-A216-462A-BEBC-D35371703DAD}" name="Asset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5BC7F-EAF5-4860-9339-A7EB64CD8F52}" name="Table82" displayName="Table82" ref="A3:H36" totalsRowShown="0">
  <autoFilter ref="A3:H36" xr:uid="{2FB5BC7F-EAF5-4860-9339-A7EB64CD8F52}"/>
  <tableColumns count="8">
    <tableColumn id="1" xr3:uid="{DC1440CD-32EA-4214-9D1E-CD31700333C6}" name="Date"/>
    <tableColumn id="2" xr3:uid="{A09D0F6B-A617-4A04-8C3D-6FCFDEF5EBD3}" name="Rent" dataDxfId="13"/>
    <tableColumn id="3" xr3:uid="{AE98CF2E-B2EB-41EA-8DF1-BF5D8D2E005C}" name="Bills" dataDxfId="12"/>
    <tableColumn id="4" xr3:uid="{7832FCFF-50F3-4097-B460-CF6B851FE021}" name="Subscriptions" dataDxfId="11"/>
    <tableColumn id="5" xr3:uid="{CFF4A989-A794-4012-BF30-269F85E35D0C}" name="Groceries" dataDxfId="10"/>
    <tableColumn id="6" xr3:uid="{3CFF0073-A0EB-4AA3-A8A0-348B17F16347}" name="Gas" dataDxfId="9"/>
    <tableColumn id="7" xr3:uid="{6293186E-D211-40C4-809F-37A08B194370}" name="Other" dataDxfId="8"/>
    <tableColumn id="8" xr3:uid="{2236AF95-95C5-4D5C-9DED-64E9DF186260}" name="Assets" dataDxfId="7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94F20-102E-43D3-B961-3B7F994C878E}" name="Table823" displayName="Table823" ref="A3:H36" totalsRowShown="0">
  <autoFilter ref="A3:H36" xr:uid="{E3494F20-102E-43D3-B961-3B7F994C878E}"/>
  <tableColumns count="8">
    <tableColumn id="1" xr3:uid="{1FF93226-C4E4-4B19-BCB7-A8DA057D85B3}" name="Date"/>
    <tableColumn id="2" xr3:uid="{698727E8-044A-42B8-AAF3-C92586FD5AA8}" name="Rent" dataDxfId="6"/>
    <tableColumn id="3" xr3:uid="{6B7FC570-F69F-441B-A879-EDB1C7CB24A5}" name="Bills" dataDxfId="5"/>
    <tableColumn id="4" xr3:uid="{6073268C-B566-4AD7-8A2F-BDA1B9686100}" name="Subscriptions" dataDxfId="4"/>
    <tableColumn id="5" xr3:uid="{FD4B613E-4660-4BC6-8984-636A229C10DB}" name="Groceries" dataDxfId="3"/>
    <tableColumn id="6" xr3:uid="{613D94D2-68FE-435E-807C-8A302275017D}" name="Gas" dataDxfId="2"/>
    <tableColumn id="7" xr3:uid="{916A9450-85B0-4AC6-A129-0C45E4C34476}" name="Other" dataDxfId="1"/>
    <tableColumn id="8" xr3:uid="{4C5ADFD7-4245-4A7F-B8DD-9E6765FF8C87}" name="Assets" dataDxfId="0"/>
  </tableColumns>
  <tableStyleInfo name="TableStyleMedium1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3-11-04T17:21:20.22" personId="{3D422400-0721-4937-8C05-139D14D2217E}" id="{7CAA89D6-46A8-4C6D-99D4-36FCDC502B44}">
    <text>Aldi</text>
  </threadedComment>
  <threadedComment ref="H4" dT="2023-11-04T05:50:21.01" personId="{3D422400-0721-4937-8C05-139D14D2217E}" id="{A37B5C2B-E66A-4736-A97F-007A87613C86}">
    <text>Paycheck</text>
  </threadedComment>
  <threadedComment ref="G5" dT="2023-11-05T15:59:01.59" personId="{3D422400-0721-4937-8C05-139D14D2217E}" id="{BDDEA9E0-78DC-4C30-B67F-CAE4958203BC}">
    <text>Oryana tea</text>
  </threadedComment>
  <threadedComment ref="H5" dT="2023-11-05T15:59:25.18" personId="{3D422400-0721-4937-8C05-139D14D2217E}" id="{1F6E0B8F-7F7B-4338-8EA9-8D98CF916CE8}">
    <text>AutoZone battery trade in</text>
  </threadedComment>
  <threadedComment ref="D7" dT="2023-11-11T20:08:22.42" personId="{3D422400-0721-4937-8C05-139D14D2217E}" id="{E44FC64B-AFE0-4CF1-97B8-C402C1E5D39E}">
    <text>Phone Bill</text>
  </threadedComment>
  <threadedComment ref="D10" dT="2023-11-04T05:50:07.58" personId="{3D422400-0721-4937-8C05-139D14D2217E}" id="{DFA378C7-64CE-4DFA-85A0-EAF53884D602}">
    <text xml:space="preserve">Spotify </text>
  </threadedComment>
  <threadedComment ref="E11" dT="2023-11-11T20:04:26.26" personId="{3D422400-0721-4937-8C05-139D14D2217E}" id="{61D4F2C8-9B3B-4C7F-ABAC-F3EC494DAF4B}">
    <text>Meijer</text>
  </threadedComment>
  <threadedComment ref="D12" dT="2023-11-11T20:07:06.91" personId="{3D422400-0721-4937-8C05-139D14D2217E}" id="{5478DFB1-A69C-4D25-B4BB-B354ABC42D0A}">
    <text>Duolingo</text>
  </threadedComment>
  <threadedComment ref="E12" dT="2023-11-11T20:04:38.89" personId="{3D422400-0721-4937-8C05-139D14D2217E}" id="{674C4364-4F08-4300-9B5B-456FD391DCA7}">
    <text>Aldi</text>
  </threadedComment>
  <threadedComment ref="G12" dT="2023-11-11T20:05:12.62" personId="{3D422400-0721-4937-8C05-139D14D2217E}" id="{090C45F9-675C-4D16-957C-CCB4A7E79194}">
    <text xml:space="preserve">Wal-Mart multivitamins </text>
  </threadedComment>
  <threadedComment ref="G13" dT="2023-11-12T17:22:08.70" personId="{3D422400-0721-4937-8C05-139D14D2217E}" id="{A4FC4769-0BCB-4E05-8934-DF50C3A09B97}">
    <text>Toothpaste, magnesium, castor oil</text>
  </threadedComment>
  <threadedComment ref="G16" dT="2023-11-14T14:16:18.97" personId="{3D422400-0721-4937-8C05-139D14D2217E}" id="{A34BA6DA-7C31-48B3-965B-F301B8C52D6E}">
    <text>Whitening Pen</text>
  </threadedComment>
  <threadedComment ref="G19" dT="2023-11-17T06:28:33.98" personId="{3D422400-0721-4937-8C05-139D14D2217E}" id="{9A28C0B4-341D-4494-81C5-D00EC57EC7DD}">
    <text>McDonald's</text>
  </threadedComment>
  <threadedComment ref="H19" dT="2023-11-19T00:06:46.16" personId="{3D422400-0721-4937-8C05-139D14D2217E}" id="{9814908A-DB62-4AAE-AFDB-071617B35867}">
    <text>Paycheck</text>
  </threadedComment>
  <threadedComment ref="E20" dT="2023-11-19T00:02:03.96" personId="{3D422400-0721-4937-8C05-139D14D2217E}" id="{93CD556E-7F24-4730-820C-1ED1FFE4C176}">
    <text>Aldi</text>
  </threadedComment>
  <threadedComment ref="G20" dT="2023-11-19T00:02:36.20" personId="{3D422400-0721-4937-8C05-139D14D2217E}" id="{405D428C-9A21-4F7B-A6BF-549560C6832B}">
    <text>Raw Honey, Meijer</text>
  </threadedComment>
  <threadedComment ref="H20" dT="2023-11-19T00:05:34.23" personId="{3D422400-0721-4937-8C05-139D14D2217E}" id="{80E17869-1EDD-428D-A1D0-2C4A96750B7C}">
    <text>Ebay book sale</text>
  </threadedComment>
  <threadedComment ref="G24" dT="2023-11-22T16:16:25.01" personId="{3D422400-0721-4937-8C05-139D14D2217E}" id="{FD3B9F7B-4353-43BC-9B58-4C52E2CBEB89}">
    <text xml:space="preserve">Dentist </text>
  </threadedComment>
  <threadedComment ref="E28" dT="2023-11-25T18:29:08.58" personId="{3D422400-0721-4937-8C05-139D14D2217E}" id="{D0AE4657-4A17-40C0-B76B-EE48FE5E90AE}">
    <text>Aldi
Cat food - $9.38</text>
  </threadedComment>
  <threadedComment ref="D31" dT="2023-11-28T16:26:22.15" personId="{3D422400-0721-4937-8C05-139D14D2217E}" id="{7AB05524-F913-486E-B033-24DA1FB926E7}">
    <text>Renter's Insurance</text>
  </threadedComment>
  <threadedComment ref="E31" dT="2023-11-28T16:20:11.15" personId="{3D422400-0721-4937-8C05-139D14D2217E}" id="{5C592E74-CAA5-4723-A81D-197236668870}">
    <text>Meijer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" dT="2023-12-02T20:11:06.51" personId="{3D422400-0721-4937-8C05-139D14D2217E}" id="{09C98D1C-03B6-4D58-AF1E-DD5E10C024CC}">
    <text>Tea</text>
  </threadedComment>
  <threadedComment ref="H4" dT="2023-12-02T20:10:33.32" personId="{3D422400-0721-4937-8C05-139D14D2217E}" id="{3A8F9F73-EC37-450F-B876-8546A63CF82C}">
    <text>Codecademy refund</text>
  </threadedComment>
  <threadedComment ref="D6" dT="2023-12-03T19:32:57.36" personId="{3D422400-0721-4937-8C05-139D14D2217E}" id="{D5758072-580F-40E0-BC01-C2FB1164CAED}">
    <text>US Mobile</text>
  </threadedComment>
  <threadedComment ref="G6" dT="2023-12-03T22:04:25.66" personId="{3D422400-0721-4937-8C05-139D14D2217E}" id="{985F3146-FCC6-4618-BEDB-7229969E608D}">
    <text>Blue Vase Christmas/Personal</text>
  </threadedComment>
  <threadedComment ref="G11" dT="2023-12-09T19:38:55.84" personId="{3D422400-0721-4937-8C05-139D14D2217E}" id="{8EFD0708-09D1-4C38-B5B6-0774B5F1A7F3}">
    <text>A snack</text>
  </threadedComment>
  <threadedComment ref="D12" dT="2023-12-09T19:39:55.10" personId="{3D422400-0721-4937-8C05-139D14D2217E}" id="{6DB561C5-4F2A-4987-A13B-9007D3620C7E}">
    <text>Duolingo + Spotify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CF22-36EB-4CF6-92DF-327737D52CD8}">
  <dimension ref="A1:M36"/>
  <sheetViews>
    <sheetView zoomScale="80" zoomScaleNormal="80" workbookViewId="0">
      <selection activeCell="K11" sqref="K11"/>
    </sheetView>
  </sheetViews>
  <sheetFormatPr defaultRowHeight="13.8" x14ac:dyDescent="0.25"/>
  <cols>
    <col min="1" max="1" width="13.8984375" customWidth="1"/>
    <col min="2" max="2" width="11.09765625" bestFit="1" customWidth="1"/>
    <col min="3" max="3" width="8.09765625" customWidth="1"/>
    <col min="4" max="4" width="13.3984375" bestFit="1" customWidth="1"/>
    <col min="5" max="5" width="10.09765625" customWidth="1"/>
    <col min="6" max="6" width="10.296875" customWidth="1"/>
    <col min="7" max="7" width="9.796875" customWidth="1"/>
    <col min="8" max="8" width="11.296875" customWidth="1"/>
    <col min="9" max="10" width="8.796875" customWidth="1"/>
    <col min="12" max="12" width="8.796875" customWidth="1"/>
  </cols>
  <sheetData>
    <row r="1" spans="1:13" ht="22.8" x14ac:dyDescent="0.4">
      <c r="A1" s="23" t="s">
        <v>7</v>
      </c>
      <c r="B1" s="23"/>
      <c r="C1" s="23"/>
      <c r="D1" s="23"/>
      <c r="E1" s="23"/>
      <c r="F1" s="23"/>
      <c r="G1" s="23"/>
      <c r="H1" s="23"/>
    </row>
    <row r="2" spans="1:13" ht="22.8" customHeight="1" x14ac:dyDescent="0.25">
      <c r="A2" s="24" t="s">
        <v>12</v>
      </c>
      <c r="B2" s="24"/>
      <c r="C2" s="24"/>
      <c r="D2" s="24"/>
      <c r="E2" s="24"/>
      <c r="F2" s="24"/>
      <c r="G2" s="24"/>
      <c r="H2" s="24"/>
    </row>
    <row r="3" spans="1:13" ht="23.4" thickBot="1" x14ac:dyDescent="0.45">
      <c r="A3" s="14" t="s">
        <v>6</v>
      </c>
      <c r="B3" s="4" t="s">
        <v>4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5</v>
      </c>
      <c r="H3" s="4" t="s">
        <v>14</v>
      </c>
      <c r="L3" s="1"/>
    </row>
    <row r="4" spans="1:13" ht="14.4" thickTop="1" x14ac:dyDescent="0.25">
      <c r="A4" s="5">
        <v>45234</v>
      </c>
      <c r="B4" s="6"/>
      <c r="C4" s="6"/>
      <c r="D4" s="6"/>
      <c r="E4" s="8">
        <v>-26.38</v>
      </c>
      <c r="F4" s="6"/>
      <c r="G4" s="6"/>
      <c r="H4" s="6">
        <v>1409.68</v>
      </c>
      <c r="M4" s="3"/>
    </row>
    <row r="5" spans="1:13" x14ac:dyDescent="0.25">
      <c r="A5" s="7">
        <v>45235</v>
      </c>
      <c r="B5" s="8"/>
      <c r="C5" s="8"/>
      <c r="D5" s="8"/>
      <c r="F5" s="8"/>
      <c r="G5" s="8">
        <v>-14.68</v>
      </c>
      <c r="H5" s="8">
        <v>22</v>
      </c>
      <c r="J5" s="3"/>
      <c r="K5" s="3"/>
    </row>
    <row r="6" spans="1:13" ht="14.4" x14ac:dyDescent="0.3">
      <c r="A6" s="9" t="s">
        <v>8</v>
      </c>
      <c r="B6" s="10">
        <f>SUM(B4:B5)</f>
        <v>0</v>
      </c>
      <c r="C6" s="10">
        <f t="shared" ref="C6:F6" si="0">SUM(C4:C5)</f>
        <v>0</v>
      </c>
      <c r="D6" s="10">
        <f t="shared" si="0"/>
        <v>0</v>
      </c>
      <c r="E6" s="10">
        <f>SUM(E4:E4)</f>
        <v>-26.38</v>
      </c>
      <c r="F6" s="10">
        <f t="shared" si="0"/>
        <v>0</v>
      </c>
      <c r="G6" s="10">
        <f>SUM(G4:G5)</f>
        <v>-14.68</v>
      </c>
      <c r="H6" s="10">
        <f>SUM(H4:H5)</f>
        <v>1431.68</v>
      </c>
      <c r="J6" s="3"/>
      <c r="K6" s="3"/>
    </row>
    <row r="7" spans="1:13" x14ac:dyDescent="0.25">
      <c r="A7" s="7">
        <v>45236</v>
      </c>
      <c r="B7" s="8"/>
      <c r="C7" s="8"/>
      <c r="D7" s="8">
        <v>-25.31</v>
      </c>
      <c r="E7" s="8"/>
      <c r="F7" s="8"/>
      <c r="J7" s="3"/>
      <c r="K7" s="3"/>
    </row>
    <row r="8" spans="1:13" x14ac:dyDescent="0.25">
      <c r="A8" s="11">
        <v>45237</v>
      </c>
      <c r="B8" s="2"/>
      <c r="C8" s="2"/>
      <c r="D8" s="2"/>
      <c r="E8" s="2"/>
      <c r="F8" s="2">
        <v>-37.909999999999997</v>
      </c>
      <c r="G8" s="2"/>
      <c r="H8" s="2"/>
      <c r="J8" s="3"/>
      <c r="K8" s="3"/>
    </row>
    <row r="9" spans="1:13" x14ac:dyDescent="0.25">
      <c r="A9" s="7">
        <v>45238</v>
      </c>
      <c r="B9" s="8"/>
      <c r="C9" s="8"/>
      <c r="D9" s="8"/>
      <c r="E9" s="8"/>
      <c r="F9" s="8"/>
      <c r="G9" s="8"/>
      <c r="H9" s="8"/>
    </row>
    <row r="10" spans="1:13" x14ac:dyDescent="0.25">
      <c r="A10" s="11">
        <v>45239</v>
      </c>
      <c r="B10" s="2"/>
      <c r="C10" s="2"/>
      <c r="D10" s="2">
        <v>-5.99</v>
      </c>
      <c r="E10" s="2"/>
      <c r="F10" s="2"/>
      <c r="G10" s="2"/>
      <c r="H10" s="2"/>
    </row>
    <row r="11" spans="1:13" x14ac:dyDescent="0.25">
      <c r="A11" s="7">
        <v>45240</v>
      </c>
      <c r="B11" s="8"/>
      <c r="C11" s="8"/>
      <c r="D11" s="8"/>
      <c r="E11" s="8">
        <v>-16.11</v>
      </c>
      <c r="F11" s="8"/>
      <c r="G11" s="8"/>
      <c r="H11" s="8"/>
    </row>
    <row r="12" spans="1:13" x14ac:dyDescent="0.25">
      <c r="A12" s="11">
        <v>45241</v>
      </c>
      <c r="B12" s="2"/>
      <c r="C12" s="2"/>
      <c r="D12" s="2">
        <v>-13.77</v>
      </c>
      <c r="E12" s="2">
        <v>-25.48</v>
      </c>
      <c r="F12" s="2"/>
      <c r="G12" s="2">
        <v>-14.76</v>
      </c>
      <c r="H12" s="2"/>
    </row>
    <row r="13" spans="1:13" x14ac:dyDescent="0.25">
      <c r="A13" s="7">
        <v>45242</v>
      </c>
      <c r="B13" s="8"/>
      <c r="C13" s="8"/>
      <c r="D13" s="8"/>
      <c r="E13" s="8"/>
      <c r="F13" s="8"/>
      <c r="G13" s="8">
        <v>-36.89</v>
      </c>
      <c r="H13" s="8"/>
    </row>
    <row r="14" spans="1:13" ht="14.4" x14ac:dyDescent="0.3">
      <c r="A14" s="9" t="s">
        <v>9</v>
      </c>
      <c r="B14" s="10">
        <f>SUM(B7:B13)</f>
        <v>0</v>
      </c>
      <c r="C14" s="10">
        <f t="shared" ref="C14:F14" si="1">SUM(C7:C13)</f>
        <v>0</v>
      </c>
      <c r="D14" s="10">
        <f t="shared" si="1"/>
        <v>-45.069999999999993</v>
      </c>
      <c r="E14" s="10">
        <f t="shared" si="1"/>
        <v>-41.59</v>
      </c>
      <c r="F14" s="10">
        <f t="shared" si="1"/>
        <v>-37.909999999999997</v>
      </c>
      <c r="G14" s="10">
        <f>SUM(G7:G13)</f>
        <v>-51.65</v>
      </c>
      <c r="H14" s="10">
        <f>SUM(H7:H13)</f>
        <v>0</v>
      </c>
    </row>
    <row r="15" spans="1:13" x14ac:dyDescent="0.25">
      <c r="A15" s="7">
        <v>45243</v>
      </c>
      <c r="B15" s="8"/>
      <c r="C15" s="8"/>
      <c r="D15" s="8"/>
      <c r="E15" s="8"/>
      <c r="F15" s="8"/>
      <c r="G15" s="8"/>
      <c r="H15" s="8"/>
    </row>
    <row r="16" spans="1:13" x14ac:dyDescent="0.25">
      <c r="A16" s="11">
        <v>45244</v>
      </c>
      <c r="B16" s="2"/>
      <c r="C16" s="2"/>
      <c r="D16" s="2"/>
      <c r="E16" s="2"/>
      <c r="F16" s="2"/>
      <c r="G16" s="2">
        <v>-22.25</v>
      </c>
      <c r="H16" s="2"/>
    </row>
    <row r="17" spans="1:8" x14ac:dyDescent="0.25">
      <c r="A17" s="7">
        <v>45245</v>
      </c>
      <c r="B17" s="8"/>
      <c r="C17" s="8"/>
      <c r="D17" s="8"/>
      <c r="E17" s="8"/>
      <c r="F17" s="8"/>
      <c r="G17" s="8"/>
      <c r="H17" s="8"/>
    </row>
    <row r="18" spans="1:8" x14ac:dyDescent="0.25">
      <c r="A18" s="11">
        <v>45246</v>
      </c>
      <c r="B18" s="2"/>
      <c r="C18" s="2"/>
      <c r="D18" s="2"/>
      <c r="E18" s="2"/>
      <c r="F18" s="2"/>
      <c r="G18" s="2"/>
      <c r="H18" s="2"/>
    </row>
    <row r="19" spans="1:8" x14ac:dyDescent="0.25">
      <c r="A19" s="7">
        <v>45247</v>
      </c>
      <c r="B19" s="8"/>
      <c r="C19" s="8"/>
      <c r="D19" s="8"/>
      <c r="E19" s="8"/>
      <c r="F19" s="8"/>
      <c r="G19" s="8">
        <v>-5.07</v>
      </c>
      <c r="H19" s="8">
        <v>917.26</v>
      </c>
    </row>
    <row r="20" spans="1:8" x14ac:dyDescent="0.25">
      <c r="A20" s="11">
        <v>45248</v>
      </c>
      <c r="B20" s="2"/>
      <c r="C20" s="2"/>
      <c r="D20" s="2"/>
      <c r="E20" s="2">
        <v>-25.07</v>
      </c>
      <c r="F20" s="2"/>
      <c r="G20" s="2">
        <v>-10.3</v>
      </c>
      <c r="H20" s="2">
        <v>8.5500000000000007</v>
      </c>
    </row>
    <row r="21" spans="1:8" x14ac:dyDescent="0.25">
      <c r="A21" s="7">
        <v>45249</v>
      </c>
      <c r="B21" s="8"/>
      <c r="C21" s="8"/>
      <c r="D21" s="8"/>
      <c r="E21" s="8"/>
      <c r="F21" s="8">
        <v>-38.01</v>
      </c>
      <c r="G21" s="8"/>
      <c r="H21" s="8"/>
    </row>
    <row r="22" spans="1:8" ht="14.4" x14ac:dyDescent="0.3">
      <c r="A22" s="9" t="s">
        <v>10</v>
      </c>
      <c r="B22" s="10">
        <f>SUM(B15:B21)</f>
        <v>0</v>
      </c>
      <c r="C22" s="10">
        <f>SUM(C15:C21)</f>
        <v>0</v>
      </c>
      <c r="D22" s="10">
        <f t="shared" ref="D22:H22" si="2">SUM(D15:D21)</f>
        <v>0</v>
      </c>
      <c r="E22" s="10">
        <f>SUM(E15:E21)</f>
        <v>-25.07</v>
      </c>
      <c r="F22" s="10">
        <f t="shared" si="2"/>
        <v>-38.01</v>
      </c>
      <c r="G22" s="10">
        <f t="shared" si="2"/>
        <v>-37.620000000000005</v>
      </c>
      <c r="H22" s="10">
        <f t="shared" si="2"/>
        <v>925.81</v>
      </c>
    </row>
    <row r="23" spans="1:8" x14ac:dyDescent="0.25">
      <c r="A23" s="7">
        <v>45250</v>
      </c>
      <c r="B23" s="8"/>
      <c r="C23" s="8"/>
      <c r="D23" s="8"/>
      <c r="E23" s="8"/>
      <c r="F23" s="8"/>
      <c r="G23" s="8"/>
      <c r="H23" s="8"/>
    </row>
    <row r="24" spans="1:8" x14ac:dyDescent="0.25">
      <c r="A24" s="11">
        <v>45251</v>
      </c>
      <c r="B24" s="2"/>
      <c r="C24" s="2"/>
      <c r="D24" s="2">
        <v>-240</v>
      </c>
      <c r="E24" s="2"/>
      <c r="F24" s="2"/>
      <c r="G24" s="2">
        <v>-170</v>
      </c>
      <c r="H24" s="2"/>
    </row>
    <row r="25" spans="1:8" x14ac:dyDescent="0.25">
      <c r="A25" s="7">
        <v>45252</v>
      </c>
      <c r="B25" s="8"/>
      <c r="C25" s="8"/>
      <c r="D25" s="8"/>
      <c r="E25" s="8"/>
      <c r="F25" s="8"/>
      <c r="G25" s="8"/>
      <c r="H25" s="8"/>
    </row>
    <row r="26" spans="1:8" x14ac:dyDescent="0.25">
      <c r="A26" s="11">
        <v>45253</v>
      </c>
      <c r="B26" s="2"/>
      <c r="C26" s="2"/>
      <c r="D26" s="2"/>
      <c r="E26" s="2"/>
      <c r="F26" s="2"/>
      <c r="G26" s="2"/>
      <c r="H26" s="2"/>
    </row>
    <row r="27" spans="1:8" x14ac:dyDescent="0.25">
      <c r="A27" s="7">
        <v>45254</v>
      </c>
      <c r="B27" s="8"/>
      <c r="C27" s="8"/>
      <c r="D27" s="8"/>
      <c r="E27" s="8"/>
      <c r="F27" s="8"/>
      <c r="G27" s="8"/>
      <c r="H27" s="8"/>
    </row>
    <row r="28" spans="1:8" x14ac:dyDescent="0.25">
      <c r="A28" s="11">
        <v>45255</v>
      </c>
      <c r="B28" s="2"/>
      <c r="C28" s="2"/>
      <c r="D28" s="2"/>
      <c r="E28" s="2">
        <v>-37.33</v>
      </c>
      <c r="F28" s="2"/>
      <c r="G28" s="2"/>
      <c r="H28" s="2"/>
    </row>
    <row r="29" spans="1:8" x14ac:dyDescent="0.25">
      <c r="A29" s="7">
        <v>45256</v>
      </c>
      <c r="B29" s="8"/>
      <c r="C29" s="8"/>
      <c r="D29" s="8"/>
      <c r="E29" s="8"/>
      <c r="F29" s="8"/>
      <c r="G29" s="8"/>
      <c r="H29" s="8"/>
    </row>
    <row r="30" spans="1:8" ht="14.4" x14ac:dyDescent="0.3">
      <c r="A30" s="9" t="s">
        <v>11</v>
      </c>
      <c r="B30" s="10">
        <f>SUM(B23:B29)</f>
        <v>0</v>
      </c>
      <c r="C30" s="10">
        <f t="shared" ref="C30:H30" si="3">SUM(C23:C29)</f>
        <v>0</v>
      </c>
      <c r="D30" s="10">
        <f t="shared" si="3"/>
        <v>-240</v>
      </c>
      <c r="E30" s="10">
        <f t="shared" si="3"/>
        <v>-37.33</v>
      </c>
      <c r="F30" s="10">
        <f t="shared" si="3"/>
        <v>0</v>
      </c>
      <c r="G30" s="10">
        <f t="shared" si="3"/>
        <v>-170</v>
      </c>
      <c r="H30" s="10">
        <f t="shared" si="3"/>
        <v>0</v>
      </c>
    </row>
    <row r="31" spans="1:8" x14ac:dyDescent="0.25">
      <c r="A31" s="7">
        <v>45257</v>
      </c>
      <c r="B31" s="8">
        <v>-1135</v>
      </c>
      <c r="C31" s="8"/>
      <c r="D31" s="8">
        <v>-8.5</v>
      </c>
      <c r="E31" s="8">
        <v>-7.94</v>
      </c>
      <c r="F31" s="8"/>
      <c r="G31" s="8"/>
      <c r="H31" s="8"/>
    </row>
    <row r="32" spans="1:8" x14ac:dyDescent="0.25">
      <c r="A32" s="11">
        <v>45258</v>
      </c>
      <c r="B32" s="2"/>
      <c r="C32" s="2"/>
      <c r="D32" s="2"/>
      <c r="E32" s="2"/>
      <c r="F32" s="2">
        <v>-31.08</v>
      </c>
      <c r="G32" s="2"/>
      <c r="H32" s="2"/>
    </row>
    <row r="33" spans="1:8" x14ac:dyDescent="0.25">
      <c r="A33" s="7">
        <v>45259</v>
      </c>
      <c r="B33" s="8"/>
      <c r="C33" s="8"/>
      <c r="D33" s="8"/>
      <c r="E33" s="8"/>
      <c r="F33" s="8"/>
      <c r="G33" s="8"/>
      <c r="H33" s="8"/>
    </row>
    <row r="34" spans="1:8" x14ac:dyDescent="0.25">
      <c r="A34" s="11">
        <v>45260</v>
      </c>
      <c r="B34" s="2"/>
      <c r="C34" s="2"/>
      <c r="D34" s="2"/>
      <c r="E34" s="2"/>
      <c r="F34" s="2"/>
      <c r="G34" s="2"/>
      <c r="H34" s="2"/>
    </row>
    <row r="35" spans="1:8" ht="14.4" x14ac:dyDescent="0.3">
      <c r="A35" s="15" t="s">
        <v>13</v>
      </c>
      <c r="B35" s="16">
        <f>SUM(B4:B5,B7:B13,B15:B21,B23:B29,B31:B34)</f>
        <v>-1135</v>
      </c>
      <c r="C35" s="16">
        <f t="shared" ref="C35:H35" si="4">SUM(C6,C14,C22,C30)</f>
        <v>0</v>
      </c>
      <c r="D35" s="16">
        <f t="shared" si="4"/>
        <v>-285.07</v>
      </c>
      <c r="E35" s="16">
        <f t="shared" si="4"/>
        <v>-130.37</v>
      </c>
      <c r="F35" s="16">
        <f t="shared" si="4"/>
        <v>-75.919999999999987</v>
      </c>
      <c r="G35" s="16">
        <f t="shared" si="4"/>
        <v>-273.95</v>
      </c>
      <c r="H35" s="16">
        <f t="shared" si="4"/>
        <v>2357.4899999999998</v>
      </c>
    </row>
    <row r="36" spans="1:8" ht="14.4" x14ac:dyDescent="0.3">
      <c r="A36" s="12" t="s">
        <v>15</v>
      </c>
      <c r="B36" s="13"/>
      <c r="C36" s="13"/>
      <c r="D36" s="13"/>
      <c r="E36" s="13"/>
      <c r="F36" s="13"/>
      <c r="G36" s="13"/>
      <c r="H36" s="13">
        <f>SUM(1429.8+B35+C35+D35+E35+F35+G35+H35)</f>
        <v>1886.9799999999998</v>
      </c>
    </row>
  </sheetData>
  <mergeCells count="2">
    <mergeCell ref="A1:H1"/>
    <mergeCell ref="A2:H2"/>
  </mergeCells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90A0-5B6D-4A68-B5CB-CF5ED8A8491F}">
  <dimension ref="A1:K36"/>
  <sheetViews>
    <sheetView tabSelected="1" topLeftCell="A4" workbookViewId="0">
      <selection activeCell="J28" sqref="J28"/>
    </sheetView>
  </sheetViews>
  <sheetFormatPr defaultRowHeight="13.8" x14ac:dyDescent="0.25"/>
  <cols>
    <col min="1" max="1" width="9.69921875" bestFit="1" customWidth="1"/>
    <col min="2" max="3" width="8.8984375" bestFit="1" customWidth="1"/>
    <col min="4" max="4" width="14.796875" bestFit="1" customWidth="1"/>
    <col min="5" max="5" width="11.59765625" bestFit="1" customWidth="1"/>
    <col min="6" max="6" width="8.8984375" bestFit="1" customWidth="1"/>
    <col min="7" max="7" width="9.5" bestFit="1" customWidth="1"/>
    <col min="8" max="8" width="10.296875" bestFit="1" customWidth="1"/>
    <col min="10" max="10" width="10.5" bestFit="1" customWidth="1"/>
    <col min="11" max="11" width="9.5" bestFit="1" customWidth="1"/>
  </cols>
  <sheetData>
    <row r="1" spans="1:11" ht="22.8" x14ac:dyDescent="0.4">
      <c r="A1" s="23" t="s">
        <v>16</v>
      </c>
      <c r="B1" s="23"/>
      <c r="C1" s="23"/>
      <c r="D1" s="23"/>
      <c r="E1" s="23"/>
      <c r="F1" s="23"/>
      <c r="G1" s="23"/>
      <c r="H1" s="23"/>
    </row>
    <row r="2" spans="1:11" x14ac:dyDescent="0.25">
      <c r="A2" s="25" t="s">
        <v>18</v>
      </c>
      <c r="B2" s="25"/>
      <c r="C2" s="25"/>
      <c r="D2" s="25"/>
      <c r="E2" s="25"/>
      <c r="F2" s="25"/>
      <c r="G2" s="26">
        <v>1733.45</v>
      </c>
      <c r="H2" s="26"/>
      <c r="J2" t="s">
        <v>20</v>
      </c>
      <c r="K2" s="3">
        <f>SUM(B4:G34)</f>
        <v>-484.22</v>
      </c>
    </row>
    <row r="3" spans="1:11" x14ac:dyDescent="0.25">
      <c r="A3" t="s">
        <v>17</v>
      </c>
      <c r="B3" t="s">
        <v>4</v>
      </c>
      <c r="C3" t="s">
        <v>0</v>
      </c>
      <c r="D3" t="s">
        <v>1</v>
      </c>
      <c r="E3" t="s">
        <v>2</v>
      </c>
      <c r="F3" t="s">
        <v>3</v>
      </c>
      <c r="G3" t="s">
        <v>5</v>
      </c>
      <c r="H3" t="s">
        <v>14</v>
      </c>
    </row>
    <row r="4" spans="1:11" x14ac:dyDescent="0.25">
      <c r="A4" s="17">
        <v>45261</v>
      </c>
      <c r="B4" s="3"/>
      <c r="C4" s="3"/>
      <c r="D4" s="3"/>
      <c r="E4" s="3"/>
      <c r="F4" s="3"/>
      <c r="G4" s="3">
        <v>-12.21</v>
      </c>
      <c r="H4" s="3">
        <v>239.88</v>
      </c>
    </row>
    <row r="5" spans="1:11" x14ac:dyDescent="0.25">
      <c r="A5" s="17">
        <v>45262</v>
      </c>
      <c r="B5" s="3"/>
      <c r="C5" s="3"/>
      <c r="D5" s="3"/>
      <c r="E5" s="3">
        <v>-34.229999999999997</v>
      </c>
      <c r="F5" s="3"/>
      <c r="G5" s="3"/>
      <c r="H5" s="3">
        <v>1003.92</v>
      </c>
    </row>
    <row r="6" spans="1:11" x14ac:dyDescent="0.25">
      <c r="A6" s="17">
        <v>45263</v>
      </c>
      <c r="B6" s="3"/>
      <c r="C6" s="3"/>
      <c r="D6" s="3">
        <v>-25.31</v>
      </c>
      <c r="E6" s="3"/>
      <c r="F6" s="3"/>
      <c r="G6" s="3">
        <v>-41.88</v>
      </c>
      <c r="H6" s="3"/>
    </row>
    <row r="7" spans="1:11" x14ac:dyDescent="0.25">
      <c r="A7" s="17">
        <v>45264</v>
      </c>
      <c r="B7" s="3"/>
      <c r="C7" s="3"/>
      <c r="D7" s="3"/>
      <c r="E7" s="3"/>
      <c r="F7" s="3"/>
      <c r="G7" s="3"/>
      <c r="H7" s="3"/>
    </row>
    <row r="8" spans="1:11" x14ac:dyDescent="0.25">
      <c r="A8" s="17">
        <v>45265</v>
      </c>
      <c r="B8" s="3"/>
      <c r="C8" s="3"/>
      <c r="D8" s="3"/>
      <c r="E8" s="3"/>
      <c r="F8" s="3"/>
      <c r="G8" s="3"/>
      <c r="H8" s="3"/>
    </row>
    <row r="9" spans="1:11" x14ac:dyDescent="0.25">
      <c r="A9" s="17">
        <v>45266</v>
      </c>
      <c r="B9" s="3"/>
      <c r="C9" s="3"/>
      <c r="D9" s="3"/>
      <c r="E9" s="3">
        <v>-25.27</v>
      </c>
      <c r="F9" s="3"/>
      <c r="G9" s="3"/>
      <c r="H9" s="3"/>
    </row>
    <row r="10" spans="1:11" x14ac:dyDescent="0.25">
      <c r="A10" s="17">
        <v>45267</v>
      </c>
      <c r="B10" s="3"/>
      <c r="C10" s="3"/>
      <c r="D10" s="3"/>
      <c r="E10" s="3"/>
      <c r="F10" s="3"/>
      <c r="G10" s="3"/>
      <c r="H10" s="3"/>
    </row>
    <row r="11" spans="1:11" x14ac:dyDescent="0.25">
      <c r="A11" s="17">
        <v>45268</v>
      </c>
      <c r="B11" s="3"/>
      <c r="C11" s="3"/>
      <c r="D11" s="3"/>
      <c r="E11" s="3"/>
      <c r="F11" s="3">
        <v>-29.98</v>
      </c>
      <c r="G11" s="3">
        <v>-10.48</v>
      </c>
      <c r="H11" s="3"/>
    </row>
    <row r="12" spans="1:11" x14ac:dyDescent="0.25">
      <c r="A12" s="17">
        <v>45269</v>
      </c>
      <c r="B12" s="3"/>
      <c r="C12" s="3"/>
      <c r="D12" s="3">
        <f>-13.77 + -5.99</f>
        <v>-19.759999999999998</v>
      </c>
      <c r="E12" s="3"/>
      <c r="F12" s="3"/>
      <c r="G12" s="3">
        <v>-10.44</v>
      </c>
      <c r="H12" s="3"/>
    </row>
    <row r="13" spans="1:11" x14ac:dyDescent="0.25">
      <c r="A13" s="17">
        <v>45270</v>
      </c>
      <c r="B13" s="3"/>
      <c r="C13" s="3"/>
      <c r="D13" s="3"/>
      <c r="E13" s="3"/>
      <c r="F13" s="3"/>
      <c r="G13" s="3">
        <v>-20.98</v>
      </c>
      <c r="H13" s="3"/>
    </row>
    <row r="14" spans="1:11" x14ac:dyDescent="0.25">
      <c r="A14" s="17">
        <v>45271</v>
      </c>
      <c r="B14" s="3"/>
      <c r="C14" s="3"/>
      <c r="D14" s="3"/>
      <c r="E14" s="3"/>
      <c r="F14" s="3"/>
      <c r="G14" s="3">
        <v>-4.03</v>
      </c>
      <c r="H14" s="3"/>
    </row>
    <row r="15" spans="1:11" x14ac:dyDescent="0.25">
      <c r="A15" s="17">
        <v>45272</v>
      </c>
      <c r="B15" s="3"/>
      <c r="C15" s="3"/>
      <c r="D15" s="3"/>
      <c r="E15" s="3"/>
      <c r="F15" s="3"/>
      <c r="G15" s="3"/>
      <c r="H15" s="3"/>
    </row>
    <row r="16" spans="1:11" x14ac:dyDescent="0.25">
      <c r="A16" s="17">
        <v>45273</v>
      </c>
      <c r="B16" s="3"/>
      <c r="C16" s="3"/>
      <c r="D16" s="3"/>
      <c r="E16" s="3">
        <v>-36.020000000000003</v>
      </c>
      <c r="F16" s="3"/>
      <c r="G16" s="3">
        <f>-5.2-33.9</f>
        <v>-39.1</v>
      </c>
      <c r="H16" s="3"/>
    </row>
    <row r="17" spans="1:8" x14ac:dyDescent="0.25">
      <c r="A17" s="17">
        <v>45274</v>
      </c>
      <c r="B17" s="3"/>
      <c r="C17" s="3">
        <v>-19.690000000000001</v>
      </c>
      <c r="D17" s="3"/>
      <c r="E17" s="3"/>
      <c r="F17" s="3"/>
      <c r="G17" s="3"/>
      <c r="H17" s="3"/>
    </row>
    <row r="18" spans="1:8" x14ac:dyDescent="0.25">
      <c r="A18" s="17">
        <v>45275</v>
      </c>
      <c r="B18" s="3"/>
      <c r="C18" s="3"/>
      <c r="D18" s="3"/>
      <c r="E18" s="3"/>
      <c r="F18" s="3"/>
      <c r="G18" s="3">
        <f>-3.99-10.82</f>
        <v>-14.81</v>
      </c>
      <c r="H18" s="3"/>
    </row>
    <row r="19" spans="1:8" x14ac:dyDescent="0.25">
      <c r="A19" s="17">
        <v>45276</v>
      </c>
      <c r="B19" s="3"/>
      <c r="C19" s="3"/>
      <c r="D19" s="3"/>
      <c r="E19" s="3">
        <v>-17.75</v>
      </c>
      <c r="F19" s="3"/>
      <c r="G19" s="3">
        <f>-23.15-6.61</f>
        <v>-29.759999999999998</v>
      </c>
      <c r="H19" s="3">
        <v>898.29</v>
      </c>
    </row>
    <row r="20" spans="1:8" x14ac:dyDescent="0.25">
      <c r="A20" s="17">
        <v>45277</v>
      </c>
      <c r="B20" s="3"/>
      <c r="C20" s="3"/>
      <c r="D20" s="3"/>
      <c r="E20" s="3"/>
      <c r="F20" s="3"/>
      <c r="G20" s="3">
        <v>-11.48</v>
      </c>
      <c r="H20" s="3"/>
    </row>
    <row r="21" spans="1:8" x14ac:dyDescent="0.25">
      <c r="A21" s="17">
        <v>45278</v>
      </c>
      <c r="B21" s="3"/>
      <c r="C21" s="3"/>
      <c r="D21" s="3"/>
      <c r="E21" s="3"/>
      <c r="F21" s="3"/>
      <c r="G21" s="3"/>
      <c r="H21" s="3"/>
    </row>
    <row r="22" spans="1:8" x14ac:dyDescent="0.25">
      <c r="A22" s="17">
        <v>45279</v>
      </c>
      <c r="B22" s="3"/>
      <c r="C22" s="3"/>
      <c r="D22" s="3"/>
      <c r="E22" s="3"/>
      <c r="F22" s="3"/>
      <c r="G22" s="3"/>
      <c r="H22" s="3"/>
    </row>
    <row r="23" spans="1:8" x14ac:dyDescent="0.25">
      <c r="A23" s="17">
        <v>45280</v>
      </c>
      <c r="B23" s="3"/>
      <c r="C23" s="3"/>
      <c r="D23" s="3"/>
      <c r="E23" s="3">
        <v>-10.039999999999999</v>
      </c>
      <c r="F23" s="3"/>
      <c r="G23" s="3"/>
      <c r="H23" s="3"/>
    </row>
    <row r="24" spans="1:8" x14ac:dyDescent="0.25">
      <c r="A24" s="17">
        <v>45281</v>
      </c>
      <c r="B24" s="3"/>
      <c r="C24" s="3"/>
      <c r="D24" s="3"/>
      <c r="E24" s="3"/>
      <c r="F24" s="3">
        <v>-29.18</v>
      </c>
      <c r="G24" s="3"/>
      <c r="H24" s="3"/>
    </row>
    <row r="25" spans="1:8" x14ac:dyDescent="0.25">
      <c r="A25" s="17">
        <v>45282</v>
      </c>
      <c r="B25" s="3"/>
      <c r="C25" s="3"/>
      <c r="D25" s="3"/>
      <c r="E25" s="3">
        <v>-41.82</v>
      </c>
      <c r="F25" s="3"/>
      <c r="G25" s="3"/>
      <c r="H25" s="3"/>
    </row>
    <row r="26" spans="1:8" x14ac:dyDescent="0.25">
      <c r="A26" s="17">
        <v>45283</v>
      </c>
      <c r="B26" s="3"/>
      <c r="C26" s="3"/>
      <c r="D26" s="3"/>
      <c r="E26" s="3"/>
      <c r="F26" s="3"/>
      <c r="G26" s="3"/>
      <c r="H26" s="3"/>
    </row>
    <row r="27" spans="1:8" x14ac:dyDescent="0.25">
      <c r="A27" s="17">
        <v>45284</v>
      </c>
      <c r="B27" s="3"/>
      <c r="C27" s="3"/>
      <c r="D27" s="3"/>
      <c r="E27" s="3"/>
      <c r="F27" s="3"/>
      <c r="G27" s="3"/>
      <c r="H27" s="3"/>
    </row>
    <row r="28" spans="1:8" x14ac:dyDescent="0.25">
      <c r="A28" s="17">
        <v>45285</v>
      </c>
      <c r="B28" s="3"/>
      <c r="C28" s="3"/>
      <c r="D28" s="3"/>
      <c r="E28" s="3"/>
      <c r="F28" s="3"/>
      <c r="G28" s="3"/>
      <c r="H28" s="3"/>
    </row>
    <row r="29" spans="1:8" x14ac:dyDescent="0.25">
      <c r="A29" s="17">
        <v>45286</v>
      </c>
      <c r="B29" s="3"/>
      <c r="C29" s="3"/>
      <c r="D29" s="3"/>
      <c r="E29" s="3"/>
      <c r="F29" s="3"/>
      <c r="G29" s="3"/>
      <c r="H29" s="3"/>
    </row>
    <row r="30" spans="1:8" x14ac:dyDescent="0.25">
      <c r="A30" s="17">
        <v>45287</v>
      </c>
      <c r="B30" s="3"/>
      <c r="C30" s="3"/>
      <c r="D30" s="3"/>
      <c r="E30" s="3"/>
      <c r="F30" s="3"/>
      <c r="G30" s="3"/>
      <c r="H30" s="3"/>
    </row>
    <row r="31" spans="1:8" x14ac:dyDescent="0.25">
      <c r="A31" s="17">
        <v>45288</v>
      </c>
      <c r="B31" s="3"/>
      <c r="C31" s="3"/>
      <c r="D31" s="3"/>
      <c r="E31" s="3"/>
      <c r="F31" s="3"/>
      <c r="G31" s="3"/>
      <c r="H31" s="3"/>
    </row>
    <row r="32" spans="1:8" x14ac:dyDescent="0.25">
      <c r="A32" s="17">
        <v>45289</v>
      </c>
      <c r="B32" s="3"/>
      <c r="C32" s="3"/>
      <c r="D32" s="3"/>
      <c r="E32" s="3"/>
      <c r="F32" s="3"/>
      <c r="G32" s="3"/>
      <c r="H32" s="3"/>
    </row>
    <row r="33" spans="1:8" x14ac:dyDescent="0.25">
      <c r="A33" s="17">
        <v>45290</v>
      </c>
      <c r="B33" s="3"/>
      <c r="C33" s="3"/>
      <c r="D33" s="3"/>
      <c r="E33" s="3"/>
      <c r="F33" s="3"/>
      <c r="G33" s="3"/>
      <c r="H33" s="3"/>
    </row>
    <row r="34" spans="1:8" x14ac:dyDescent="0.25">
      <c r="A34" s="17">
        <v>45291</v>
      </c>
      <c r="B34" s="3"/>
      <c r="C34" s="3"/>
      <c r="D34" s="3"/>
      <c r="E34" s="3"/>
      <c r="F34" s="3"/>
      <c r="G34" s="3"/>
      <c r="H34" s="3"/>
    </row>
    <row r="35" spans="1:8" x14ac:dyDescent="0.25">
      <c r="A35" s="19" t="s">
        <v>13</v>
      </c>
      <c r="B35" s="20">
        <f>SUM(B4:B34)</f>
        <v>0</v>
      </c>
      <c r="C35" s="20">
        <f t="shared" ref="C35:H35" si="0">SUM(C4:C34)</f>
        <v>-19.690000000000001</v>
      </c>
      <c r="D35" s="20">
        <f t="shared" si="0"/>
        <v>-45.069999999999993</v>
      </c>
      <c r="E35" s="20">
        <f t="shared" si="0"/>
        <v>-165.13</v>
      </c>
      <c r="F35" s="20">
        <f t="shared" si="0"/>
        <v>-59.16</v>
      </c>
      <c r="G35" s="20">
        <f t="shared" si="0"/>
        <v>-195.17</v>
      </c>
      <c r="H35" s="20">
        <f t="shared" si="0"/>
        <v>2142.09</v>
      </c>
    </row>
    <row r="36" spans="1:8" x14ac:dyDescent="0.25">
      <c r="A36" s="18" t="s">
        <v>15</v>
      </c>
      <c r="B36" s="21"/>
      <c r="C36" s="21"/>
      <c r="D36" s="21"/>
      <c r="E36" s="21"/>
      <c r="F36" s="21"/>
      <c r="G36" s="21"/>
      <c r="H36" s="21">
        <f>SUM(G2+B35+C35+D35+E35+F35+G35+H35)</f>
        <v>3391.3199999999997</v>
      </c>
    </row>
  </sheetData>
  <mergeCells count="3">
    <mergeCell ref="A1:H1"/>
    <mergeCell ref="A2:F2"/>
    <mergeCell ref="G2:H2"/>
  </mergeCells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5CD1-6A1D-41A5-95B1-1B91DCE13EA5}">
  <dimension ref="A1:H36"/>
  <sheetViews>
    <sheetView workbookViewId="0">
      <selection sqref="A1:H36"/>
    </sheetView>
  </sheetViews>
  <sheetFormatPr defaultRowHeight="13.8" x14ac:dyDescent="0.25"/>
  <cols>
    <col min="1" max="1" width="9.69921875" bestFit="1" customWidth="1"/>
    <col min="4" max="4" width="14.69921875" bestFit="1" customWidth="1"/>
    <col min="5" max="5" width="11.5" bestFit="1" customWidth="1"/>
    <col min="8" max="8" width="10.296875" bestFit="1" customWidth="1"/>
  </cols>
  <sheetData>
    <row r="1" spans="1:8" ht="22.8" x14ac:dyDescent="0.4">
      <c r="A1" s="27" t="s">
        <v>19</v>
      </c>
      <c r="B1" s="23"/>
      <c r="C1" s="23"/>
      <c r="D1" s="23"/>
      <c r="E1" s="23"/>
      <c r="F1" s="23"/>
      <c r="G1" s="23"/>
      <c r="H1" s="23"/>
    </row>
    <row r="2" spans="1:8" x14ac:dyDescent="0.25">
      <c r="A2" s="25" t="s">
        <v>18</v>
      </c>
      <c r="B2" s="25"/>
      <c r="C2" s="25"/>
      <c r="D2" s="25"/>
      <c r="E2" s="25"/>
      <c r="F2" s="25"/>
      <c r="G2" s="26">
        <v>0</v>
      </c>
      <c r="H2" s="26"/>
    </row>
    <row r="3" spans="1:8" x14ac:dyDescent="0.25">
      <c r="A3" t="s">
        <v>17</v>
      </c>
      <c r="B3" t="s">
        <v>4</v>
      </c>
      <c r="C3" t="s">
        <v>0</v>
      </c>
      <c r="D3" t="s">
        <v>1</v>
      </c>
      <c r="E3" t="s">
        <v>2</v>
      </c>
      <c r="F3" t="s">
        <v>3</v>
      </c>
      <c r="G3" t="s">
        <v>5</v>
      </c>
      <c r="H3" t="s">
        <v>14</v>
      </c>
    </row>
    <row r="4" spans="1:8" x14ac:dyDescent="0.25">
      <c r="A4" s="22"/>
      <c r="B4" s="3"/>
      <c r="C4" s="3"/>
      <c r="D4" s="3"/>
      <c r="E4" s="3"/>
      <c r="F4" s="3"/>
      <c r="G4" s="3"/>
      <c r="H4" s="3"/>
    </row>
    <row r="5" spans="1:8" x14ac:dyDescent="0.25">
      <c r="A5" s="17"/>
      <c r="B5" s="3"/>
      <c r="C5" s="3"/>
      <c r="D5" s="3"/>
      <c r="E5" s="3"/>
      <c r="F5" s="3"/>
      <c r="G5" s="3"/>
      <c r="H5" s="3"/>
    </row>
    <row r="6" spans="1:8" x14ac:dyDescent="0.25">
      <c r="A6" s="17"/>
      <c r="B6" s="3"/>
      <c r="C6" s="3"/>
      <c r="D6" s="3"/>
      <c r="E6" s="3"/>
      <c r="F6" s="3"/>
      <c r="G6" s="3"/>
      <c r="H6" s="3"/>
    </row>
    <row r="7" spans="1:8" x14ac:dyDescent="0.25">
      <c r="A7" s="17"/>
      <c r="B7" s="3"/>
      <c r="C7" s="3"/>
      <c r="D7" s="3"/>
      <c r="E7" s="3"/>
      <c r="F7" s="3"/>
      <c r="G7" s="3"/>
      <c r="H7" s="3"/>
    </row>
    <row r="8" spans="1:8" x14ac:dyDescent="0.25">
      <c r="A8" s="17"/>
      <c r="B8" s="3"/>
      <c r="C8" s="3"/>
      <c r="D8" s="3"/>
      <c r="E8" s="3"/>
      <c r="F8" s="3"/>
      <c r="G8" s="3"/>
      <c r="H8" s="3"/>
    </row>
    <row r="9" spans="1:8" x14ac:dyDescent="0.25">
      <c r="A9" s="17"/>
      <c r="B9" s="3"/>
      <c r="C9" s="3"/>
      <c r="D9" s="3"/>
      <c r="E9" s="3"/>
      <c r="F9" s="3"/>
      <c r="G9" s="3"/>
      <c r="H9" s="3"/>
    </row>
    <row r="10" spans="1:8" x14ac:dyDescent="0.25">
      <c r="A10" s="17"/>
      <c r="B10" s="3"/>
      <c r="C10" s="3"/>
      <c r="D10" s="3"/>
      <c r="E10" s="3"/>
      <c r="F10" s="3"/>
      <c r="G10" s="3"/>
      <c r="H10" s="3"/>
    </row>
    <row r="11" spans="1:8" x14ac:dyDescent="0.25">
      <c r="A11" s="17"/>
      <c r="B11" s="3"/>
      <c r="C11" s="3"/>
      <c r="D11" s="3"/>
      <c r="E11" s="3"/>
      <c r="F11" s="3"/>
      <c r="G11" s="3"/>
      <c r="H11" s="3"/>
    </row>
    <row r="12" spans="1:8" x14ac:dyDescent="0.25">
      <c r="A12" s="17"/>
      <c r="B12" s="3"/>
      <c r="C12" s="3"/>
      <c r="D12" s="3"/>
      <c r="E12" s="3"/>
      <c r="F12" s="3"/>
      <c r="G12" s="3"/>
      <c r="H12" s="3"/>
    </row>
    <row r="13" spans="1:8" x14ac:dyDescent="0.25">
      <c r="A13" s="17"/>
      <c r="B13" s="3"/>
      <c r="C13" s="3"/>
      <c r="D13" s="3"/>
      <c r="E13" s="3"/>
      <c r="F13" s="3"/>
      <c r="G13" s="3"/>
      <c r="H13" s="3"/>
    </row>
    <row r="14" spans="1:8" x14ac:dyDescent="0.25">
      <c r="A14" s="17"/>
      <c r="B14" s="3"/>
      <c r="C14" s="3"/>
      <c r="D14" s="3"/>
      <c r="E14" s="3"/>
      <c r="F14" s="3"/>
      <c r="G14" s="3"/>
      <c r="H14" s="3"/>
    </row>
    <row r="15" spans="1:8" x14ac:dyDescent="0.25">
      <c r="A15" s="17"/>
      <c r="B15" s="3"/>
      <c r="C15" s="3"/>
      <c r="D15" s="3"/>
      <c r="E15" s="3"/>
      <c r="F15" s="3"/>
      <c r="G15" s="3"/>
      <c r="H15" s="3"/>
    </row>
    <row r="16" spans="1:8" x14ac:dyDescent="0.25">
      <c r="A16" s="17"/>
      <c r="B16" s="3"/>
      <c r="C16" s="3"/>
      <c r="D16" s="3"/>
      <c r="E16" s="3"/>
      <c r="F16" s="3"/>
      <c r="G16" s="3"/>
      <c r="H16" s="3"/>
    </row>
    <row r="17" spans="1:8" x14ac:dyDescent="0.25">
      <c r="A17" s="17"/>
      <c r="B17" s="3"/>
      <c r="C17" s="3"/>
      <c r="D17" s="3"/>
      <c r="E17" s="3"/>
      <c r="F17" s="3"/>
      <c r="G17" s="3"/>
      <c r="H17" s="3"/>
    </row>
    <row r="18" spans="1:8" x14ac:dyDescent="0.25">
      <c r="A18" s="17"/>
      <c r="B18" s="3"/>
      <c r="C18" s="3"/>
      <c r="D18" s="3"/>
      <c r="E18" s="3"/>
      <c r="F18" s="3"/>
      <c r="G18" s="3"/>
      <c r="H18" s="3"/>
    </row>
    <row r="19" spans="1:8" x14ac:dyDescent="0.25">
      <c r="A19" s="17"/>
      <c r="B19" s="3"/>
      <c r="C19" s="3"/>
      <c r="D19" s="3"/>
      <c r="E19" s="3"/>
      <c r="F19" s="3"/>
      <c r="G19" s="3"/>
      <c r="H19" s="3"/>
    </row>
    <row r="20" spans="1:8" x14ac:dyDescent="0.25">
      <c r="A20" s="17"/>
      <c r="B20" s="3"/>
      <c r="C20" s="3"/>
      <c r="D20" s="3"/>
      <c r="E20" s="3"/>
      <c r="F20" s="3"/>
      <c r="G20" s="3"/>
      <c r="H20" s="3"/>
    </row>
    <row r="21" spans="1:8" x14ac:dyDescent="0.25">
      <c r="A21" s="17"/>
      <c r="B21" s="3"/>
      <c r="C21" s="3"/>
      <c r="D21" s="3"/>
      <c r="E21" s="3"/>
      <c r="F21" s="3"/>
      <c r="G21" s="3"/>
      <c r="H21" s="3"/>
    </row>
    <row r="22" spans="1:8" x14ac:dyDescent="0.25">
      <c r="A22" s="17"/>
      <c r="B22" s="3"/>
      <c r="C22" s="3"/>
      <c r="D22" s="3"/>
      <c r="E22" s="3"/>
      <c r="F22" s="3"/>
      <c r="G22" s="3"/>
      <c r="H22" s="3"/>
    </row>
    <row r="23" spans="1:8" x14ac:dyDescent="0.25">
      <c r="A23" s="17"/>
      <c r="B23" s="3"/>
      <c r="C23" s="3"/>
      <c r="D23" s="3"/>
      <c r="E23" s="3"/>
      <c r="F23" s="3"/>
      <c r="G23" s="3"/>
      <c r="H23" s="3"/>
    </row>
    <row r="24" spans="1:8" x14ac:dyDescent="0.25">
      <c r="A24" s="17"/>
      <c r="B24" s="3"/>
      <c r="C24" s="3"/>
      <c r="D24" s="3"/>
      <c r="E24" s="3"/>
      <c r="F24" s="3"/>
      <c r="G24" s="3"/>
      <c r="H24" s="3"/>
    </row>
    <row r="25" spans="1:8" x14ac:dyDescent="0.25">
      <c r="A25" s="17"/>
      <c r="B25" s="3"/>
      <c r="C25" s="3"/>
      <c r="D25" s="3"/>
      <c r="E25" s="3"/>
      <c r="F25" s="3"/>
      <c r="G25" s="3"/>
      <c r="H25" s="3"/>
    </row>
    <row r="26" spans="1:8" x14ac:dyDescent="0.25">
      <c r="A26" s="17"/>
      <c r="B26" s="3"/>
      <c r="C26" s="3"/>
      <c r="D26" s="3"/>
      <c r="E26" s="3"/>
      <c r="F26" s="3"/>
      <c r="G26" s="3"/>
      <c r="H26" s="3"/>
    </row>
    <row r="27" spans="1:8" x14ac:dyDescent="0.25">
      <c r="A27" s="17"/>
      <c r="B27" s="3"/>
      <c r="C27" s="3"/>
      <c r="D27" s="3"/>
      <c r="E27" s="3"/>
      <c r="F27" s="3"/>
      <c r="G27" s="3"/>
      <c r="H27" s="3"/>
    </row>
    <row r="28" spans="1:8" x14ac:dyDescent="0.25">
      <c r="A28" s="17"/>
      <c r="B28" s="3"/>
      <c r="C28" s="3"/>
      <c r="D28" s="3"/>
      <c r="E28" s="3"/>
      <c r="F28" s="3"/>
      <c r="G28" s="3"/>
      <c r="H28" s="3"/>
    </row>
    <row r="29" spans="1:8" x14ac:dyDescent="0.25">
      <c r="A29" s="17"/>
      <c r="B29" s="3"/>
      <c r="C29" s="3"/>
      <c r="D29" s="3"/>
      <c r="E29" s="3"/>
      <c r="F29" s="3"/>
      <c r="G29" s="3"/>
      <c r="H29" s="3"/>
    </row>
    <row r="30" spans="1:8" x14ac:dyDescent="0.25">
      <c r="A30" s="17"/>
      <c r="B30" s="3"/>
      <c r="C30" s="3"/>
      <c r="D30" s="3"/>
      <c r="E30" s="3"/>
      <c r="F30" s="3"/>
      <c r="G30" s="3"/>
      <c r="H30" s="3"/>
    </row>
    <row r="31" spans="1:8" x14ac:dyDescent="0.25">
      <c r="A31" s="17"/>
      <c r="B31" s="3"/>
      <c r="C31" s="3"/>
      <c r="D31" s="3"/>
      <c r="E31" s="3"/>
      <c r="F31" s="3"/>
      <c r="G31" s="3"/>
      <c r="H31" s="3"/>
    </row>
    <row r="32" spans="1:8" x14ac:dyDescent="0.25">
      <c r="A32" s="17"/>
      <c r="B32" s="3"/>
      <c r="C32" s="3"/>
      <c r="D32" s="3"/>
      <c r="E32" s="3"/>
      <c r="F32" s="3"/>
      <c r="G32" s="3"/>
      <c r="H32" s="3"/>
    </row>
    <row r="33" spans="1:8" x14ac:dyDescent="0.25">
      <c r="A33" s="17"/>
      <c r="B33" s="3"/>
      <c r="C33" s="3"/>
      <c r="D33" s="3"/>
      <c r="E33" s="3"/>
      <c r="F33" s="3"/>
      <c r="G33" s="3"/>
      <c r="H33" s="3"/>
    </row>
    <row r="34" spans="1:8" x14ac:dyDescent="0.25">
      <c r="A34" s="17"/>
      <c r="B34" s="3"/>
      <c r="C34" s="3"/>
      <c r="D34" s="3"/>
      <c r="E34" s="3"/>
      <c r="F34" s="3"/>
      <c r="G34" s="3"/>
      <c r="H34" s="3"/>
    </row>
    <row r="35" spans="1:8" x14ac:dyDescent="0.25">
      <c r="A35" s="19" t="s">
        <v>13</v>
      </c>
      <c r="B35" s="20">
        <f>SUM(B4:B34)</f>
        <v>0</v>
      </c>
      <c r="C35" s="20">
        <f t="shared" ref="C35:H35" si="0">SUM(C4:C34)</f>
        <v>0</v>
      </c>
      <c r="D35" s="20">
        <f t="shared" si="0"/>
        <v>0</v>
      </c>
      <c r="E35" s="20">
        <f t="shared" si="0"/>
        <v>0</v>
      </c>
      <c r="F35" s="20">
        <f t="shared" si="0"/>
        <v>0</v>
      </c>
      <c r="G35" s="20">
        <f t="shared" si="0"/>
        <v>0</v>
      </c>
      <c r="H35" s="20">
        <f t="shared" si="0"/>
        <v>0</v>
      </c>
    </row>
    <row r="36" spans="1:8" x14ac:dyDescent="0.25">
      <c r="A36" s="18" t="s">
        <v>15</v>
      </c>
      <c r="B36" s="21"/>
      <c r="C36" s="21"/>
      <c r="D36" s="21"/>
      <c r="E36" s="21"/>
      <c r="F36" s="21"/>
      <c r="G36" s="21"/>
      <c r="H36" s="21">
        <f>SUM(G2+B35+C35+D35+E35+F35+G35+H35)</f>
        <v>0</v>
      </c>
    </row>
  </sheetData>
  <mergeCells count="3">
    <mergeCell ref="A1:H1"/>
    <mergeCell ref="A2:F2"/>
    <mergeCell ref="G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November</vt:lpstr>
      <vt:lpstr>December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Cayce  Harwood</dc:creator>
  <cp:lastModifiedBy>Cayce  Harwood</cp:lastModifiedBy>
  <dcterms:created xsi:type="dcterms:W3CDTF">2023-11-04T04:46:12Z</dcterms:created>
  <dcterms:modified xsi:type="dcterms:W3CDTF">2023-12-25T00:25:50Z</dcterms:modified>
</cp:coreProperties>
</file>